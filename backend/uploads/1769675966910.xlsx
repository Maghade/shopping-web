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SFK GROUP\SFK Export\Shipping Docs\Novenber 2025\Robert Muller US\"/>
    </mc:Choice>
  </mc:AlternateContent>
  <xr:revisionPtr revIDLastSave="0" documentId="13_ncr:1_{F282AF88-F5F8-4B45-A57F-EF607C68FB8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 1" sheetId="1" r:id="rId1"/>
  </sheets>
  <definedNames>
    <definedName name="_xlnm._FilterDatabase" localSheetId="0" hidden="1">'Table 1'!$A$19:$K$31</definedName>
    <definedName name="_xlnm.Print_Area" localSheetId="0">'Table 1'!$A$1:$J$37</definedName>
  </definedNames>
  <calcPr calcId="181029"/>
</workbook>
</file>

<file path=xl/calcChain.xml><?xml version="1.0" encoding="utf-8"?>
<calcChain xmlns="http://schemas.openxmlformats.org/spreadsheetml/2006/main">
  <c r="J29" i="1" l="1"/>
  <c r="D34" i="1"/>
  <c r="J21" i="1"/>
  <c r="J22" i="1"/>
  <c r="J23" i="1"/>
  <c r="J24" i="1"/>
  <c r="J25" i="1"/>
  <c r="J26" i="1"/>
  <c r="J27" i="1"/>
  <c r="J28" i="1"/>
  <c r="J20" i="1"/>
  <c r="I33" i="1" l="1"/>
  <c r="I35" i="1" l="1"/>
</calcChain>
</file>

<file path=xl/sharedStrings.xml><?xml version="1.0" encoding="utf-8"?>
<sst xmlns="http://schemas.openxmlformats.org/spreadsheetml/2006/main" count="99" uniqueCount="89">
  <si>
    <t>Exporter</t>
  </si>
  <si>
    <t>Invoice No.</t>
  </si>
  <si>
    <t>Date</t>
  </si>
  <si>
    <t>Email Order</t>
  </si>
  <si>
    <t>Other Reference (s)</t>
  </si>
  <si>
    <t>Buyer(If Other than Consingnee) As per the Annexure</t>
  </si>
  <si>
    <t>Consignee</t>
  </si>
  <si>
    <t>Third Party Export</t>
  </si>
  <si>
    <t>Country of Origin:</t>
  </si>
  <si>
    <t>Country of Final Des.</t>
  </si>
  <si>
    <t>(As per Annexure/Packing List)</t>
  </si>
  <si>
    <t>India</t>
  </si>
  <si>
    <t>Carriage by Air</t>
  </si>
  <si>
    <t>Place of Receipt by</t>
  </si>
  <si>
    <t>Terms of Delivery and payment</t>
  </si>
  <si>
    <t>Pre-carrier</t>
  </si>
  <si>
    <t>: Mumbai</t>
  </si>
  <si>
    <t>Port of Loading</t>
  </si>
  <si>
    <t>Port Of Discharge: Mumbai</t>
  </si>
  <si>
    <t>Final Destination</t>
  </si>
  <si>
    <t>: AS PER Annexure</t>
  </si>
  <si>
    <t>SR NO</t>
  </si>
  <si>
    <t>Description of Goods</t>
  </si>
  <si>
    <t>Unit/ Qty</t>
  </si>
  <si>
    <t>Price/ Rate USD</t>
  </si>
  <si>
    <t>Total Amount</t>
  </si>
  <si>
    <t>HSN CODE</t>
  </si>
  <si>
    <t>Product Name</t>
  </si>
  <si>
    <t>Generic Name</t>
  </si>
  <si>
    <t>Batch No.</t>
  </si>
  <si>
    <t>Exp.Date</t>
  </si>
  <si>
    <t>Name of Manufacturer</t>
  </si>
  <si>
    <t>TOTAL :</t>
  </si>
  <si>
    <t>C&amp;F Total (USD) :</t>
  </si>
  <si>
    <t>EXPORT  INVOICE</t>
  </si>
  <si>
    <t>Page 1-1</t>
  </si>
  <si>
    <t>Fraight charge :</t>
  </si>
  <si>
    <t xml:space="preserve">Name &amp; Address </t>
  </si>
  <si>
    <r>
      <rPr>
        <b/>
        <sz val="18"/>
        <color rgb="FF212121"/>
        <rFont val="Cambria"/>
        <family val="1"/>
        <scheme val="major"/>
      </rPr>
      <t>AS PER Annexure</t>
    </r>
  </si>
  <si>
    <r>
      <t xml:space="preserve">For, SFK Group 
</t>
    </r>
    <r>
      <rPr>
        <b/>
        <sz val="18"/>
        <rFont val="Cambria"/>
        <family val="1"/>
        <scheme val="major"/>
      </rPr>
      <t>Authorised Singnatory</t>
    </r>
  </si>
  <si>
    <r>
      <rPr>
        <b/>
        <sz val="18"/>
        <rFont val="Cambria"/>
        <family val="1"/>
        <scheme val="major"/>
      </rPr>
      <t xml:space="preserve">As per the regulatory requirements of importing countries as per specific needs DL. No.: </t>
    </r>
    <r>
      <rPr>
        <sz val="18"/>
        <rFont val="Cambria"/>
        <family val="1"/>
        <scheme val="major"/>
      </rPr>
      <t xml:space="preserve">20B/MH-NG2-534008,21B-MH-NG2-534009
</t>
    </r>
    <r>
      <rPr>
        <b/>
        <sz val="18"/>
        <rFont val="Cambria"/>
        <family val="1"/>
        <scheme val="major"/>
      </rPr>
      <t xml:space="preserve">IEC Code : </t>
    </r>
    <r>
      <rPr>
        <sz val="18"/>
        <rFont val="Cambria"/>
        <family val="1"/>
        <scheme val="major"/>
      </rPr>
      <t xml:space="preserve">AEXFS0248B
</t>
    </r>
    <r>
      <rPr>
        <b/>
        <sz val="18"/>
        <rFont val="Cambria"/>
        <family val="1"/>
        <scheme val="major"/>
      </rPr>
      <t>Bank Name : ICICI</t>
    </r>
    <r>
      <rPr>
        <sz val="18"/>
        <rFont val="Cambria"/>
        <family val="1"/>
        <scheme val="major"/>
      </rPr>
      <t xml:space="preserve"> Bank,Awasti Chowk Jafer Nagar Nagpur Maharashtra                                          </t>
    </r>
    <r>
      <rPr>
        <b/>
        <sz val="18"/>
        <rFont val="Cambria"/>
        <family val="1"/>
        <scheme val="major"/>
      </rPr>
      <t xml:space="preserve">Bank A/C No :739505001496    </t>
    </r>
    <r>
      <rPr>
        <sz val="18"/>
        <rFont val="Cambria"/>
        <family val="1"/>
        <scheme val="major"/>
      </rPr>
      <t xml:space="preserve"> </t>
    </r>
    <r>
      <rPr>
        <b/>
        <sz val="18"/>
        <rFont val="Cambria"/>
        <family val="1"/>
        <scheme val="major"/>
      </rPr>
      <t>IFSC Code : ICIC0007395</t>
    </r>
    <r>
      <rPr>
        <sz val="18"/>
        <rFont val="Cambria"/>
        <family val="1"/>
        <scheme val="major"/>
      </rPr>
      <t xml:space="preserve">
</t>
    </r>
    <r>
      <rPr>
        <b/>
        <sz val="18"/>
        <rFont val="Cambria"/>
        <family val="1"/>
        <scheme val="major"/>
      </rPr>
      <t>Swift Code : ICICINBBCTS</t>
    </r>
    <r>
      <rPr>
        <sz val="18"/>
        <rFont val="Cambria"/>
        <family val="1"/>
        <scheme val="major"/>
      </rPr>
      <t xml:space="preserve">  </t>
    </r>
    <r>
      <rPr>
        <b/>
        <sz val="18"/>
        <rFont val="Cambria"/>
        <family val="1"/>
        <scheme val="major"/>
      </rPr>
      <t xml:space="preserve"> AD CODE</t>
    </r>
    <r>
      <rPr>
        <sz val="18"/>
        <rFont val="Cambria"/>
        <family val="1"/>
        <scheme val="major"/>
      </rPr>
      <t xml:space="preserve">: 6392058/6400009
</t>
    </r>
    <r>
      <rPr>
        <b/>
        <sz val="18"/>
        <rFont val="Cambria"/>
        <family val="1"/>
        <scheme val="major"/>
      </rPr>
      <t>GSTIN : 27AEXFS0248B1ZV</t>
    </r>
    <r>
      <rPr>
        <sz val="18"/>
        <rFont val="Cambria"/>
        <family val="1"/>
        <scheme val="major"/>
      </rPr>
      <t xml:space="preserve"> - SFK Group
Declaration: We declare that this Proforma Invoice shows actual price of goods described and that all particulars are true and correct.*Subject to import countries law.</t>
    </r>
  </si>
  <si>
    <t xml:space="preserve"> QUANTITY :  </t>
  </si>
  <si>
    <t>IN WORDS :</t>
  </si>
  <si>
    <t>SFK Group                                                                                                                              Plot No 11, Near CID HQ Behind Police Line Takli,
Prashant Colony, Nagpur, Maharashtra 440013.</t>
  </si>
  <si>
    <t>Vidalista 5mg</t>
  </si>
  <si>
    <t>Cenforce 100mg</t>
  </si>
  <si>
    <t>Etozox 90mg</t>
  </si>
  <si>
    <t>Avaforce 100 Mg</t>
  </si>
  <si>
    <t>Celeheal 200mg</t>
  </si>
  <si>
    <t>Amoxyheal CV 1000 mg</t>
  </si>
  <si>
    <t>Sildenafil</t>
  </si>
  <si>
    <t>2028-06</t>
  </si>
  <si>
    <t>Etoricoxib</t>
  </si>
  <si>
    <t>Tadalafil</t>
  </si>
  <si>
    <t>TV-010045</t>
  </si>
  <si>
    <t>Avanafil</t>
  </si>
  <si>
    <t>Celecoxib</t>
  </si>
  <si>
    <t>CC-1410025</t>
  </si>
  <si>
    <t>2028-07</t>
  </si>
  <si>
    <t>HEALI</t>
  </si>
  <si>
    <t>Amoxycillin</t>
  </si>
  <si>
    <t>FORT</t>
  </si>
  <si>
    <t>TB250392</t>
  </si>
  <si>
    <t>2027-06</t>
  </si>
  <si>
    <t>Vilitra 10 Mg</t>
  </si>
  <si>
    <t>Vardenafil</t>
  </si>
  <si>
    <t>TV-380031</t>
  </si>
  <si>
    <t>Toba DM Eye Drop</t>
  </si>
  <si>
    <t>FTC0013</t>
  </si>
  <si>
    <t>2026-11</t>
  </si>
  <si>
    <t>SUN</t>
  </si>
  <si>
    <t>CENTU</t>
  </si>
  <si>
    <t>Tobramycin</t>
  </si>
  <si>
    <t>Ciprofloxacin</t>
  </si>
  <si>
    <t>SFK/25/455</t>
  </si>
  <si>
    <t>Julie Pearson
1818 S Quebec Way unit 5-3
Denver, CO 80231, US</t>
  </si>
  <si>
    <t>C-411009</t>
  </si>
  <si>
    <t>Ciplox 500</t>
  </si>
  <si>
    <t>5SD0398</t>
  </si>
  <si>
    <t>2028-08</t>
  </si>
  <si>
    <t>CIP</t>
  </si>
  <si>
    <t>G.CI</t>
  </si>
  <si>
    <t>T2504636</t>
  </si>
  <si>
    <t>2027-03</t>
  </si>
  <si>
    <t>TA-400014</t>
  </si>
  <si>
    <t>Vidalista 20mg</t>
  </si>
  <si>
    <t>V-122005</t>
  </si>
  <si>
    <t>Centu</t>
  </si>
  <si>
    <t>Eighty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</si>
</sst>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.0"/>
  </numFmts>
  <fonts count="1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12"/>
      <name val="Cambria"/>
      <family val="1"/>
      <scheme val="major"/>
    </font>
    <font>
      <b/>
      <sz val="18"/>
      <name val="Cambria"/>
      <family val="1"/>
      <scheme val="major"/>
    </font>
    <font>
      <sz val="18"/>
      <color rgb="FF000000"/>
      <name val="Cambria"/>
      <family val="1"/>
      <scheme val="major"/>
    </font>
    <font>
      <sz val="18"/>
      <name val="Cambria"/>
      <family val="1"/>
      <scheme val="major"/>
    </font>
    <font>
      <b/>
      <sz val="18"/>
      <color rgb="FF000000"/>
      <name val="Cambria"/>
      <family val="1"/>
      <scheme val="major"/>
    </font>
    <font>
      <b/>
      <sz val="18"/>
      <color rgb="FF212121"/>
      <name val="Cambria"/>
      <family val="1"/>
      <scheme val="major"/>
    </font>
    <font>
      <sz val="18"/>
      <color theme="1"/>
      <name val="Cambria"/>
      <family val="1"/>
      <scheme val="major"/>
    </font>
    <font>
      <sz val="1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1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1" xfId="0" applyFont="1" applyBorder="1" applyAlignment="1">
      <alignment vertical="top" wrapText="1"/>
    </xf>
    <xf numFmtId="0" fontId="4" fillId="0" borderId="0" xfId="0" applyFont="1" applyAlignment="1">
      <alignment horizontal="left" vertical="top"/>
    </xf>
    <xf numFmtId="0" fontId="4" fillId="0" borderId="1" xfId="0" applyFont="1" applyBorder="1" applyAlignment="1">
      <alignment wrapText="1"/>
    </xf>
    <xf numFmtId="0" fontId="3" fillId="2" borderId="1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" fontId="5" fillId="0" borderId="14" xfId="0" applyNumberFormat="1" applyFont="1" applyBorder="1" applyAlignment="1">
      <alignment horizontal="center" vertical="top" shrinkToFit="1"/>
    </xf>
    <xf numFmtId="1" fontId="5" fillId="0" borderId="16" xfId="0" applyNumberFormat="1" applyFont="1" applyBorder="1" applyAlignment="1">
      <alignment horizontal="center" vertical="top" shrinkToFit="1"/>
    </xf>
    <xf numFmtId="2" fontId="5" fillId="0" borderId="14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center" vertical="top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/>
    </xf>
    <xf numFmtId="0" fontId="8" fillId="3" borderId="14" xfId="0" applyFont="1" applyFill="1" applyBorder="1" applyAlignment="1">
      <alignment horizontal="center"/>
    </xf>
    <xf numFmtId="0" fontId="8" fillId="3" borderId="14" xfId="0" applyFont="1" applyFill="1" applyBorder="1"/>
    <xf numFmtId="0" fontId="5" fillId="0" borderId="14" xfId="0" applyFont="1" applyBorder="1" applyAlignment="1">
      <alignment horizontal="center" vertical="top" wrapText="1"/>
    </xf>
    <xf numFmtId="17" fontId="5" fillId="0" borderId="14" xfId="0" applyNumberFormat="1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/>
    </xf>
    <xf numFmtId="0" fontId="5" fillId="0" borderId="17" xfId="0" applyFont="1" applyBorder="1" applyAlignment="1">
      <alignment horizontal="center" vertical="top" wrapText="1"/>
    </xf>
    <xf numFmtId="2" fontId="5" fillId="0" borderId="17" xfId="0" applyNumberFormat="1" applyFont="1" applyBorder="1" applyAlignment="1">
      <alignment horizontal="center" vertical="top" shrinkToFit="1"/>
    </xf>
    <xf numFmtId="1" fontId="4" fillId="0" borderId="14" xfId="0" applyNumberFormat="1" applyFont="1" applyBorder="1" applyAlignment="1">
      <alignment vertical="top" shrinkToFit="1"/>
    </xf>
    <xf numFmtId="0" fontId="4" fillId="0" borderId="0" xfId="0" applyFont="1" applyAlignment="1">
      <alignment horizontal="center" vertical="top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165" fontId="5" fillId="0" borderId="14" xfId="0" applyNumberFormat="1" applyFont="1" applyBorder="1" applyAlignment="1">
      <alignment horizontal="center" vertical="top" shrinkToFit="1"/>
    </xf>
    <xf numFmtId="0" fontId="5" fillId="0" borderId="0" xfId="0" applyFont="1" applyAlignment="1">
      <alignment horizontal="left" vertical="top"/>
    </xf>
    <xf numFmtId="0" fontId="8" fillId="3" borderId="14" xfId="0" applyFont="1" applyFill="1" applyBorder="1" applyAlignment="1">
      <alignment horizontal="left"/>
    </xf>
    <xf numFmtId="0" fontId="5" fillId="0" borderId="14" xfId="0" applyFont="1" applyBorder="1" applyAlignment="1">
      <alignment horizontal="left" vertical="top" wrapText="1"/>
    </xf>
    <xf numFmtId="17" fontId="5" fillId="0" borderId="19" xfId="0" applyNumberFormat="1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/>
    </xf>
    <xf numFmtId="17" fontId="5" fillId="0" borderId="17" xfId="0" applyNumberFormat="1" applyFont="1" applyBorder="1" applyAlignment="1">
      <alignment horizontal="right" vertical="top" wrapText="1"/>
    </xf>
    <xf numFmtId="0" fontId="4" fillId="0" borderId="14" xfId="0" applyFont="1" applyBorder="1"/>
    <xf numFmtId="0" fontId="4" fillId="0" borderId="14" xfId="0" applyFont="1" applyBorder="1" applyAlignment="1">
      <alignment horizontal="right" vertical="top"/>
    </xf>
    <xf numFmtId="0" fontId="4" fillId="5" borderId="13" xfId="0" applyFont="1" applyFill="1" applyBorder="1" applyAlignment="1">
      <alignment horizontal="left" vertical="top" shrinkToFit="1"/>
    </xf>
    <xf numFmtId="0" fontId="5" fillId="5" borderId="1" xfId="0" applyFont="1" applyFill="1" applyBorder="1" applyAlignment="1">
      <alignment horizontal="left" vertical="top" wrapText="1"/>
    </xf>
    <xf numFmtId="0" fontId="5" fillId="5" borderId="14" xfId="0" applyFont="1" applyFill="1" applyBorder="1" applyAlignment="1">
      <alignment horizontal="left" vertical="top" wrapText="1"/>
    </xf>
    <xf numFmtId="0" fontId="8" fillId="3" borderId="14" xfId="0" applyFont="1" applyFill="1" applyBorder="1" applyAlignment="1">
      <alignment horizontal="right" vertical="top"/>
    </xf>
    <xf numFmtId="0" fontId="5" fillId="0" borderId="17" xfId="0" applyFont="1" applyBorder="1" applyAlignment="1">
      <alignment horizontal="left"/>
    </xf>
    <xf numFmtId="0" fontId="4" fillId="5" borderId="14" xfId="0" applyFont="1" applyFill="1" applyBorder="1"/>
    <xf numFmtId="2" fontId="5" fillId="5" borderId="14" xfId="0" applyNumberFormat="1" applyFont="1" applyFill="1" applyBorder="1" applyAlignment="1">
      <alignment horizontal="center" vertical="top" shrinkToFit="1"/>
    </xf>
    <xf numFmtId="0" fontId="4" fillId="0" borderId="8" xfId="0" applyFont="1" applyBorder="1" applyAlignment="1">
      <alignment horizontal="left" vertical="top" shrinkToFit="1"/>
    </xf>
    <xf numFmtId="17" fontId="5" fillId="0" borderId="14" xfId="0" applyNumberFormat="1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shrinkToFit="1"/>
    </xf>
    <xf numFmtId="0" fontId="5" fillId="0" borderId="14" xfId="0" applyFont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164" fontId="6" fillId="0" borderId="2" xfId="0" applyNumberFormat="1" applyFont="1" applyBorder="1" applyAlignment="1">
      <alignment horizontal="left" vertical="top" shrinkToFit="1"/>
    </xf>
    <xf numFmtId="164" fontId="6" fillId="0" borderId="3" xfId="0" applyNumberFormat="1" applyFont="1" applyBorder="1" applyAlignment="1">
      <alignment horizontal="left" vertical="top" shrinkToFit="1"/>
    </xf>
    <xf numFmtId="164" fontId="6" fillId="0" borderId="4" xfId="0" applyNumberFormat="1" applyFont="1" applyBorder="1" applyAlignment="1">
      <alignment horizontal="left" vertical="top" shrinkToFit="1"/>
    </xf>
    <xf numFmtId="0" fontId="3" fillId="0" borderId="8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12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8" xfId="0" applyFont="1" applyBorder="1" applyAlignment="1">
      <alignment vertical="top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3" fillId="2" borderId="13" xfId="0" applyFont="1" applyFill="1" applyBorder="1" applyAlignment="1">
      <alignment vertical="center" wrapText="1"/>
    </xf>
    <xf numFmtId="0" fontId="3" fillId="2" borderId="1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3" fillId="0" borderId="2" xfId="0" applyFont="1" applyBorder="1" applyAlignment="1">
      <alignment horizontal="left" vertical="top" wrapText="1" indent="9"/>
    </xf>
    <xf numFmtId="0" fontId="3" fillId="0" borderId="4" xfId="0" applyFont="1" applyBorder="1" applyAlignment="1">
      <alignment horizontal="left" vertical="top" wrapText="1" indent="9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1" fontId="3" fillId="0" borderId="2" xfId="0" applyNumberFormat="1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 indent="6"/>
    </xf>
    <xf numFmtId="0" fontId="3" fillId="0" borderId="4" xfId="0" applyFont="1" applyBorder="1" applyAlignment="1">
      <alignment horizontal="left" vertical="top" wrapText="1" indent="6"/>
    </xf>
    <xf numFmtId="2" fontId="6" fillId="0" borderId="2" xfId="0" applyNumberFormat="1" applyFont="1" applyBorder="1" applyAlignment="1">
      <alignment horizontal="center" vertical="top" shrinkToFit="1"/>
    </xf>
    <xf numFmtId="2" fontId="6" fillId="0" borderId="4" xfId="0" applyNumberFormat="1" applyFont="1" applyBorder="1" applyAlignment="1">
      <alignment horizontal="center" vertical="top" shrinkToFit="1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 indent="5"/>
    </xf>
    <xf numFmtId="0" fontId="4" fillId="0" borderId="3" xfId="0" applyFont="1" applyBorder="1" applyAlignment="1">
      <alignment horizontal="left" vertical="top" wrapText="1" indent="5"/>
    </xf>
    <xf numFmtId="0" fontId="4" fillId="0" borderId="4" xfId="0" applyFont="1" applyBorder="1" applyAlignment="1">
      <alignment horizontal="left" vertical="top" wrapText="1" indent="5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4"/>
    </xf>
    <xf numFmtId="165" fontId="3" fillId="4" borderId="2" xfId="0" applyNumberFormat="1" applyFont="1" applyFill="1" applyBorder="1" applyAlignment="1">
      <alignment horizontal="left" vertical="top" wrapText="1"/>
    </xf>
    <xf numFmtId="165" fontId="3" fillId="4" borderId="3" xfId="0" applyNumberFormat="1" applyFont="1" applyFill="1" applyBorder="1" applyAlignment="1">
      <alignment horizontal="left" vertical="top" wrapText="1"/>
    </xf>
    <xf numFmtId="165" fontId="3" fillId="4" borderId="4" xfId="0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7"/>
  <sheetViews>
    <sheetView tabSelected="1" zoomScale="49" zoomScaleNormal="106" workbookViewId="0">
      <selection activeCell="E8" sqref="E8:J10"/>
    </sheetView>
  </sheetViews>
  <sheetFormatPr defaultRowHeight="13" x14ac:dyDescent="0.3"/>
  <cols>
    <col min="1" max="1" width="22.19921875" bestFit="1" customWidth="1"/>
    <col min="2" max="2" width="21" bestFit="1" customWidth="1"/>
    <col min="3" max="3" width="50.5" customWidth="1"/>
    <col min="4" max="4" width="34.19921875" bestFit="1" customWidth="1"/>
    <col min="5" max="5" width="28" bestFit="1" customWidth="1"/>
    <col min="6" max="6" width="18.69921875" bestFit="1" customWidth="1"/>
    <col min="7" max="7" width="45.19921875" bestFit="1" customWidth="1"/>
    <col min="8" max="8" width="19.5" bestFit="1" customWidth="1"/>
    <col min="9" max="9" width="32.296875" bestFit="1" customWidth="1"/>
    <col min="10" max="10" width="28.296875" bestFit="1" customWidth="1"/>
  </cols>
  <sheetData>
    <row r="1" spans="1:10" s="1" customFormat="1" ht="30" customHeight="1" x14ac:dyDescent="0.3">
      <c r="A1" s="46" t="s">
        <v>34</v>
      </c>
      <c r="B1" s="47"/>
      <c r="C1" s="47"/>
      <c r="D1" s="47"/>
      <c r="E1" s="47"/>
      <c r="F1" s="47"/>
      <c r="G1" s="47"/>
      <c r="H1" s="47"/>
      <c r="I1" s="48"/>
      <c r="J1" s="2" t="s">
        <v>35</v>
      </c>
    </row>
    <row r="2" spans="1:10" s="3" customFormat="1" ht="30" customHeight="1" x14ac:dyDescent="0.3">
      <c r="A2" s="49" t="s">
        <v>0</v>
      </c>
      <c r="B2" s="50"/>
      <c r="C2" s="50"/>
      <c r="D2" s="51"/>
      <c r="E2" s="49" t="s">
        <v>1</v>
      </c>
      <c r="F2" s="51"/>
      <c r="G2" s="52" t="s">
        <v>74</v>
      </c>
      <c r="H2" s="53"/>
      <c r="I2" s="53"/>
      <c r="J2" s="54"/>
    </row>
    <row r="3" spans="1:10" s="3" customFormat="1" ht="30" customHeight="1" x14ac:dyDescent="0.3">
      <c r="A3" s="55" t="s">
        <v>37</v>
      </c>
      <c r="B3" s="56"/>
      <c r="C3" s="56"/>
      <c r="D3" s="57"/>
      <c r="E3" s="49" t="s">
        <v>2</v>
      </c>
      <c r="F3" s="51"/>
      <c r="G3" s="58">
        <v>45990</v>
      </c>
      <c r="H3" s="59"/>
      <c r="I3" s="59"/>
      <c r="J3" s="60"/>
    </row>
    <row r="4" spans="1:10" s="3" customFormat="1" ht="30" customHeight="1" x14ac:dyDescent="0.45">
      <c r="A4" s="61" t="s">
        <v>43</v>
      </c>
      <c r="B4" s="62"/>
      <c r="C4" s="62"/>
      <c r="D4" s="63"/>
      <c r="E4" s="70"/>
      <c r="F4" s="71"/>
      <c r="G4" s="71"/>
      <c r="H4" s="71"/>
      <c r="I4" s="71"/>
      <c r="J4" s="72"/>
    </row>
    <row r="5" spans="1:10" s="3" customFormat="1" ht="30" customHeight="1" x14ac:dyDescent="0.3">
      <c r="A5" s="64"/>
      <c r="B5" s="65"/>
      <c r="C5" s="65"/>
      <c r="D5" s="66"/>
      <c r="E5" s="55" t="s">
        <v>3</v>
      </c>
      <c r="F5" s="56"/>
      <c r="G5" s="56"/>
      <c r="H5" s="56"/>
      <c r="I5" s="56"/>
      <c r="J5" s="57"/>
    </row>
    <row r="6" spans="1:10" s="3" customFormat="1" ht="30" customHeight="1" x14ac:dyDescent="0.3">
      <c r="A6" s="64"/>
      <c r="B6" s="65"/>
      <c r="C6" s="65"/>
      <c r="D6" s="66"/>
      <c r="E6" s="55" t="s">
        <v>4</v>
      </c>
      <c r="F6" s="56"/>
      <c r="G6" s="56"/>
      <c r="H6" s="56"/>
      <c r="I6" s="56"/>
      <c r="J6" s="57"/>
    </row>
    <row r="7" spans="1:10" s="3" customFormat="1" ht="30" customHeight="1" x14ac:dyDescent="0.3">
      <c r="A7" s="67"/>
      <c r="B7" s="68"/>
      <c r="C7" s="68"/>
      <c r="D7" s="69"/>
      <c r="E7" s="55" t="s">
        <v>5</v>
      </c>
      <c r="F7" s="56"/>
      <c r="G7" s="56"/>
      <c r="H7" s="56"/>
      <c r="I7" s="56"/>
      <c r="J7" s="57"/>
    </row>
    <row r="8" spans="1:10" s="3" customFormat="1" ht="30" customHeight="1" x14ac:dyDescent="0.3">
      <c r="A8" s="55" t="s">
        <v>6</v>
      </c>
      <c r="B8" s="56"/>
      <c r="C8" s="56"/>
      <c r="D8" s="57"/>
      <c r="E8" s="73"/>
      <c r="F8" s="62"/>
      <c r="G8" s="62"/>
      <c r="H8" s="62"/>
      <c r="I8" s="62"/>
      <c r="J8" s="63"/>
    </row>
    <row r="9" spans="1:10" s="3" customFormat="1" ht="30" customHeight="1" x14ac:dyDescent="0.3">
      <c r="A9" s="55" t="s">
        <v>37</v>
      </c>
      <c r="B9" s="56"/>
      <c r="C9" s="56"/>
      <c r="D9" s="57"/>
      <c r="E9" s="64"/>
      <c r="F9" s="65"/>
      <c r="G9" s="65"/>
      <c r="H9" s="65"/>
      <c r="I9" s="65"/>
      <c r="J9" s="66"/>
    </row>
    <row r="10" spans="1:10" s="3" customFormat="1" ht="30" customHeight="1" x14ac:dyDescent="0.3">
      <c r="A10" s="61" t="s">
        <v>75</v>
      </c>
      <c r="B10" s="62"/>
      <c r="C10" s="62"/>
      <c r="D10" s="63"/>
      <c r="E10" s="67"/>
      <c r="F10" s="68"/>
      <c r="G10" s="68"/>
      <c r="H10" s="68"/>
      <c r="I10" s="68"/>
      <c r="J10" s="69"/>
    </row>
    <row r="11" spans="1:10" s="3" customFormat="1" ht="30" customHeight="1" x14ac:dyDescent="0.3">
      <c r="A11" s="64"/>
      <c r="B11" s="65"/>
      <c r="C11" s="65"/>
      <c r="D11" s="66"/>
      <c r="E11" s="55" t="s">
        <v>7</v>
      </c>
      <c r="F11" s="56"/>
      <c r="G11" s="56"/>
      <c r="H11" s="56"/>
      <c r="I11" s="56"/>
      <c r="J11" s="57"/>
    </row>
    <row r="12" spans="1:10" s="3" customFormat="1" ht="61.5" customHeight="1" x14ac:dyDescent="0.3">
      <c r="A12" s="67"/>
      <c r="B12" s="68"/>
      <c r="C12" s="68"/>
      <c r="D12" s="69"/>
      <c r="E12" s="55" t="s">
        <v>8</v>
      </c>
      <c r="F12" s="57"/>
      <c r="G12" s="55" t="s">
        <v>9</v>
      </c>
      <c r="H12" s="56"/>
      <c r="I12" s="56"/>
      <c r="J12" s="57"/>
    </row>
    <row r="13" spans="1:10" s="3" customFormat="1" ht="30" customHeight="1" x14ac:dyDescent="0.3">
      <c r="A13" s="55" t="s">
        <v>10</v>
      </c>
      <c r="B13" s="56"/>
      <c r="C13" s="56"/>
      <c r="D13" s="57"/>
      <c r="E13" s="49" t="s">
        <v>11</v>
      </c>
      <c r="F13" s="51"/>
      <c r="G13" s="49" t="s">
        <v>38</v>
      </c>
      <c r="H13" s="50"/>
      <c r="I13" s="50"/>
      <c r="J13" s="51"/>
    </row>
    <row r="14" spans="1:10" s="3" customFormat="1" ht="30" customHeight="1" x14ac:dyDescent="0.3">
      <c r="A14" s="55" t="s">
        <v>12</v>
      </c>
      <c r="B14" s="56"/>
      <c r="C14" s="56"/>
      <c r="D14" s="57"/>
      <c r="E14" s="55" t="s">
        <v>13</v>
      </c>
      <c r="F14" s="57"/>
      <c r="G14" s="55" t="s">
        <v>14</v>
      </c>
      <c r="H14" s="56"/>
      <c r="I14" s="56"/>
      <c r="J14" s="57"/>
    </row>
    <row r="15" spans="1:10" s="3" customFormat="1" ht="30" customHeight="1" x14ac:dyDescent="0.3">
      <c r="A15" s="74"/>
      <c r="B15" s="75"/>
      <c r="C15" s="75"/>
      <c r="D15" s="76"/>
      <c r="E15" s="55" t="s">
        <v>15</v>
      </c>
      <c r="F15" s="57"/>
      <c r="G15" s="55" t="s">
        <v>16</v>
      </c>
      <c r="H15" s="56"/>
      <c r="I15" s="56"/>
      <c r="J15" s="57"/>
    </row>
    <row r="16" spans="1:10" s="3" customFormat="1" ht="30" customHeight="1" x14ac:dyDescent="0.3">
      <c r="A16" s="77"/>
      <c r="B16" s="78"/>
      <c r="C16" s="78"/>
      <c r="D16" s="79"/>
      <c r="E16" s="55" t="s">
        <v>17</v>
      </c>
      <c r="F16" s="57"/>
      <c r="G16" s="55" t="s">
        <v>16</v>
      </c>
      <c r="H16" s="56"/>
      <c r="I16" s="56"/>
      <c r="J16" s="57"/>
    </row>
    <row r="17" spans="1:11" s="3" customFormat="1" ht="30" customHeight="1" x14ac:dyDescent="0.45">
      <c r="A17" s="55" t="s">
        <v>18</v>
      </c>
      <c r="B17" s="56"/>
      <c r="C17" s="57"/>
      <c r="D17" s="4"/>
      <c r="E17" s="49" t="s">
        <v>19</v>
      </c>
      <c r="F17" s="51"/>
      <c r="G17" s="55" t="s">
        <v>20</v>
      </c>
      <c r="H17" s="56"/>
      <c r="I17" s="56"/>
      <c r="J17" s="57"/>
    </row>
    <row r="18" spans="1:11" s="6" customFormat="1" ht="30" customHeight="1" x14ac:dyDescent="0.3">
      <c r="A18" s="80" t="s">
        <v>21</v>
      </c>
      <c r="B18" s="82" t="s">
        <v>22</v>
      </c>
      <c r="C18" s="83"/>
      <c r="D18" s="83"/>
      <c r="E18" s="83"/>
      <c r="F18" s="83"/>
      <c r="G18" s="84"/>
      <c r="H18" s="80" t="s">
        <v>23</v>
      </c>
      <c r="I18" s="85" t="s">
        <v>24</v>
      </c>
      <c r="J18" s="80" t="s">
        <v>25</v>
      </c>
    </row>
    <row r="19" spans="1:11" s="6" customFormat="1" ht="30" customHeight="1" x14ac:dyDescent="0.3">
      <c r="A19" s="81"/>
      <c r="B19" s="5" t="s">
        <v>26</v>
      </c>
      <c r="C19" s="5" t="s">
        <v>27</v>
      </c>
      <c r="D19" s="5" t="s">
        <v>28</v>
      </c>
      <c r="E19" s="5" t="s">
        <v>29</v>
      </c>
      <c r="F19" s="5" t="s">
        <v>30</v>
      </c>
      <c r="G19" s="5" t="s">
        <v>31</v>
      </c>
      <c r="H19" s="81"/>
      <c r="I19" s="86"/>
      <c r="J19" s="81"/>
    </row>
    <row r="20" spans="1:11" s="10" customFormat="1" ht="30" customHeight="1" x14ac:dyDescent="0.45">
      <c r="A20" s="7">
        <v>1</v>
      </c>
      <c r="B20" s="8">
        <v>3004</v>
      </c>
      <c r="C20" s="31" t="s">
        <v>44</v>
      </c>
      <c r="D20" s="11" t="s">
        <v>53</v>
      </c>
      <c r="E20" s="40" t="s">
        <v>54</v>
      </c>
      <c r="F20" s="41" t="s">
        <v>51</v>
      </c>
      <c r="G20" s="11" t="s">
        <v>71</v>
      </c>
      <c r="H20" s="31">
        <v>10</v>
      </c>
      <c r="I20" s="9">
        <v>0.5</v>
      </c>
      <c r="J20" s="24">
        <f>I20*H20</f>
        <v>5</v>
      </c>
    </row>
    <row r="21" spans="1:11" s="10" customFormat="1" ht="30" customHeight="1" x14ac:dyDescent="0.45">
      <c r="A21" s="7">
        <v>2</v>
      </c>
      <c r="B21" s="8">
        <v>3004</v>
      </c>
      <c r="C21" s="31" t="s">
        <v>45</v>
      </c>
      <c r="D21" s="27" t="s">
        <v>50</v>
      </c>
      <c r="E21" s="42" t="s">
        <v>76</v>
      </c>
      <c r="F21" s="41" t="s">
        <v>51</v>
      </c>
      <c r="G21" s="11" t="s">
        <v>71</v>
      </c>
      <c r="H21" s="38">
        <v>10</v>
      </c>
      <c r="I21" s="39">
        <v>0.5</v>
      </c>
      <c r="J21" s="24">
        <f t="shared" ref="J21:J29" si="0">I21*H21</f>
        <v>5</v>
      </c>
    </row>
    <row r="22" spans="1:11" s="10" customFormat="1" ht="30" customHeight="1" x14ac:dyDescent="0.45">
      <c r="A22" s="8">
        <v>3</v>
      </c>
      <c r="B22" s="8">
        <v>3004</v>
      </c>
      <c r="C22" s="31" t="s">
        <v>77</v>
      </c>
      <c r="D22" s="27" t="s">
        <v>73</v>
      </c>
      <c r="E22" s="33" t="s">
        <v>78</v>
      </c>
      <c r="F22" s="28" t="s">
        <v>79</v>
      </c>
      <c r="G22" s="11" t="s">
        <v>80</v>
      </c>
      <c r="H22" s="31">
        <v>5</v>
      </c>
      <c r="I22" s="9">
        <v>0.5</v>
      </c>
      <c r="J22" s="24">
        <f t="shared" si="0"/>
        <v>2.5</v>
      </c>
    </row>
    <row r="23" spans="1:11" s="10" customFormat="1" ht="30" customHeight="1" x14ac:dyDescent="0.45">
      <c r="A23" s="7">
        <v>4</v>
      </c>
      <c r="B23" s="8">
        <v>3004</v>
      </c>
      <c r="C23" s="12" t="s">
        <v>46</v>
      </c>
      <c r="D23" s="29" t="s">
        <v>52</v>
      </c>
      <c r="E23" s="34" t="s">
        <v>82</v>
      </c>
      <c r="F23" s="28" t="s">
        <v>83</v>
      </c>
      <c r="G23" s="11" t="s">
        <v>81</v>
      </c>
      <c r="H23" s="31">
        <v>10</v>
      </c>
      <c r="I23" s="9">
        <v>0.4</v>
      </c>
      <c r="J23" s="24">
        <f t="shared" si="0"/>
        <v>4</v>
      </c>
    </row>
    <row r="24" spans="1:11" s="10" customFormat="1" ht="30" customHeight="1" x14ac:dyDescent="0.45">
      <c r="A24" s="7">
        <v>5</v>
      </c>
      <c r="B24" s="8">
        <v>3004</v>
      </c>
      <c r="C24" s="37" t="s">
        <v>47</v>
      </c>
      <c r="D24" s="11" t="s">
        <v>55</v>
      </c>
      <c r="E24" s="33" t="s">
        <v>84</v>
      </c>
      <c r="F24" s="28" t="s">
        <v>79</v>
      </c>
      <c r="G24" s="11" t="s">
        <v>61</v>
      </c>
      <c r="H24" s="32">
        <v>4</v>
      </c>
      <c r="I24" s="9">
        <v>0.25</v>
      </c>
      <c r="J24" s="24">
        <f t="shared" si="0"/>
        <v>1</v>
      </c>
    </row>
    <row r="25" spans="1:11" s="10" customFormat="1" ht="30" customHeight="1" x14ac:dyDescent="0.45">
      <c r="A25" s="7">
        <v>6</v>
      </c>
      <c r="B25" s="8">
        <v>3004</v>
      </c>
      <c r="C25" s="26" t="s">
        <v>67</v>
      </c>
      <c r="D25" s="26" t="s">
        <v>72</v>
      </c>
      <c r="E25" s="35" t="s">
        <v>68</v>
      </c>
      <c r="F25" s="28" t="s">
        <v>69</v>
      </c>
      <c r="G25" s="27" t="s">
        <v>70</v>
      </c>
      <c r="H25" s="36">
        <v>3</v>
      </c>
      <c r="I25" s="9">
        <v>0.5</v>
      </c>
      <c r="J25" s="24">
        <f t="shared" si="0"/>
        <v>1.5</v>
      </c>
    </row>
    <row r="26" spans="1:11" s="25" customFormat="1" ht="30" customHeight="1" x14ac:dyDescent="0.45">
      <c r="A26" s="7">
        <v>7</v>
      </c>
      <c r="B26" s="8">
        <v>3004</v>
      </c>
      <c r="C26" s="12" t="s">
        <v>64</v>
      </c>
      <c r="D26" s="26" t="s">
        <v>65</v>
      </c>
      <c r="E26" s="27" t="s">
        <v>66</v>
      </c>
      <c r="F26" s="28" t="s">
        <v>51</v>
      </c>
      <c r="G26" s="11" t="s">
        <v>71</v>
      </c>
      <c r="H26" s="36">
        <v>5</v>
      </c>
      <c r="I26" s="9">
        <v>0.4</v>
      </c>
      <c r="J26" s="24">
        <f t="shared" si="0"/>
        <v>2</v>
      </c>
    </row>
    <row r="27" spans="1:11" s="25" customFormat="1" ht="30" customHeight="1" x14ac:dyDescent="0.45">
      <c r="A27" s="7">
        <v>8</v>
      </c>
      <c r="B27" s="8">
        <v>3004</v>
      </c>
      <c r="C27" s="26" t="s">
        <v>48</v>
      </c>
      <c r="D27" s="14" t="s">
        <v>56</v>
      </c>
      <c r="E27" s="27" t="s">
        <v>57</v>
      </c>
      <c r="F27" s="41" t="s">
        <v>58</v>
      </c>
      <c r="G27" s="27" t="s">
        <v>59</v>
      </c>
      <c r="H27" s="44">
        <v>10</v>
      </c>
      <c r="I27" s="9">
        <v>0.5</v>
      </c>
      <c r="J27" s="24">
        <f t="shared" si="0"/>
        <v>5</v>
      </c>
    </row>
    <row r="28" spans="1:11" s="10" customFormat="1" ht="30" customHeight="1" x14ac:dyDescent="0.45">
      <c r="A28" s="7">
        <v>9</v>
      </c>
      <c r="B28" s="8">
        <v>3004</v>
      </c>
      <c r="C28" s="43" t="s">
        <v>49</v>
      </c>
      <c r="D28" s="27" t="s">
        <v>60</v>
      </c>
      <c r="E28" s="27" t="s">
        <v>62</v>
      </c>
      <c r="F28" s="41" t="s">
        <v>63</v>
      </c>
      <c r="G28" s="27" t="s">
        <v>59</v>
      </c>
      <c r="H28" s="45">
        <v>6</v>
      </c>
      <c r="I28" s="9">
        <v>0.5</v>
      </c>
      <c r="J28" s="24">
        <f t="shared" si="0"/>
        <v>3</v>
      </c>
    </row>
    <row r="29" spans="1:11" s="10" customFormat="1" ht="30" customHeight="1" x14ac:dyDescent="0.45">
      <c r="A29" s="7">
        <v>10</v>
      </c>
      <c r="B29" s="8">
        <v>3004</v>
      </c>
      <c r="C29" s="43" t="s">
        <v>85</v>
      </c>
      <c r="D29" s="27" t="s">
        <v>53</v>
      </c>
      <c r="E29" s="27" t="s">
        <v>86</v>
      </c>
      <c r="F29" s="41" t="s">
        <v>51</v>
      </c>
      <c r="G29" s="27" t="s">
        <v>87</v>
      </c>
      <c r="H29" s="45">
        <v>40</v>
      </c>
      <c r="I29" s="9">
        <v>0.4</v>
      </c>
      <c r="J29" s="9">
        <f t="shared" si="0"/>
        <v>16</v>
      </c>
    </row>
    <row r="30" spans="1:11" s="10" customFormat="1" ht="30" customHeight="1" x14ac:dyDescent="0.45">
      <c r="A30" s="7"/>
      <c r="B30" s="7"/>
      <c r="C30" s="17"/>
      <c r="D30" s="18"/>
      <c r="E30" s="18"/>
      <c r="F30" s="30"/>
      <c r="G30" s="18"/>
      <c r="H30" s="17"/>
      <c r="I30" s="19"/>
      <c r="J30" s="19"/>
    </row>
    <row r="31" spans="1:11" s="3" customFormat="1" ht="30" customHeight="1" x14ac:dyDescent="0.45">
      <c r="A31" s="20"/>
      <c r="B31" s="20"/>
      <c r="C31" s="13"/>
      <c r="D31" s="15"/>
      <c r="E31" s="15"/>
      <c r="F31" s="16"/>
      <c r="G31" s="15"/>
      <c r="H31" s="13"/>
      <c r="I31" s="9"/>
      <c r="J31" s="9"/>
      <c r="K31" s="21"/>
    </row>
    <row r="32" spans="1:11" s="3" customFormat="1" ht="30" customHeight="1" x14ac:dyDescent="0.45">
      <c r="A32" s="87"/>
      <c r="B32" s="88"/>
      <c r="C32" s="88"/>
      <c r="D32" s="88"/>
      <c r="E32" s="88"/>
      <c r="F32" s="88"/>
      <c r="G32" s="88"/>
      <c r="H32" s="88"/>
      <c r="I32" s="88"/>
      <c r="J32" s="89"/>
    </row>
    <row r="33" spans="1:10" s="3" customFormat="1" ht="30" customHeight="1" x14ac:dyDescent="0.45">
      <c r="A33" s="87"/>
      <c r="B33" s="88"/>
      <c r="C33" s="88"/>
      <c r="D33" s="88"/>
      <c r="E33" s="88"/>
      <c r="F33" s="89"/>
      <c r="G33" s="90" t="s">
        <v>32</v>
      </c>
      <c r="H33" s="91"/>
      <c r="I33" s="92">
        <f>SUM(J20:J29)</f>
        <v>45</v>
      </c>
      <c r="J33" s="93"/>
    </row>
    <row r="34" spans="1:10" s="3" customFormat="1" ht="30" customHeight="1" x14ac:dyDescent="0.3">
      <c r="A34" s="94" t="s">
        <v>41</v>
      </c>
      <c r="B34" s="95"/>
      <c r="C34" s="96"/>
      <c r="D34" s="97">
        <f>H20+H21+H22+H23+H24+H25+H26+H27+H28</f>
        <v>63</v>
      </c>
      <c r="E34" s="98"/>
      <c r="F34" s="99"/>
      <c r="G34" s="100" t="s">
        <v>36</v>
      </c>
      <c r="H34" s="101"/>
      <c r="I34" s="102">
        <v>35</v>
      </c>
      <c r="J34" s="103"/>
    </row>
    <row r="35" spans="1:10" s="3" customFormat="1" ht="30" customHeight="1" x14ac:dyDescent="0.3">
      <c r="A35" s="22"/>
      <c r="B35" s="22"/>
      <c r="C35" s="22"/>
      <c r="D35" s="108"/>
      <c r="E35" s="109"/>
      <c r="F35" s="110"/>
      <c r="G35" s="111" t="s">
        <v>33</v>
      </c>
      <c r="H35" s="112"/>
      <c r="I35" s="92">
        <f>I33+I34</f>
        <v>80</v>
      </c>
      <c r="J35" s="93"/>
    </row>
    <row r="36" spans="1:10" s="3" customFormat="1" ht="30" customHeight="1" x14ac:dyDescent="0.45">
      <c r="A36" s="23" t="s">
        <v>42</v>
      </c>
      <c r="B36" s="113" t="s">
        <v>88</v>
      </c>
      <c r="C36" s="114"/>
      <c r="D36" s="114"/>
      <c r="E36" s="114"/>
      <c r="F36" s="115"/>
      <c r="G36" s="87"/>
      <c r="H36" s="89"/>
      <c r="I36" s="87"/>
      <c r="J36" s="89"/>
    </row>
    <row r="37" spans="1:10" s="3" customFormat="1" ht="230.15" customHeight="1" x14ac:dyDescent="0.3">
      <c r="A37" s="104" t="s">
        <v>40</v>
      </c>
      <c r="B37" s="98"/>
      <c r="C37" s="98"/>
      <c r="D37" s="98"/>
      <c r="E37" s="98"/>
      <c r="F37" s="99"/>
      <c r="G37" s="105" t="s">
        <v>39</v>
      </c>
      <c r="H37" s="106"/>
      <c r="I37" s="106"/>
      <c r="J37" s="107"/>
    </row>
  </sheetData>
  <mergeCells count="54">
    <mergeCell ref="A37:F37"/>
    <mergeCell ref="G37:J37"/>
    <mergeCell ref="D35:F35"/>
    <mergeCell ref="G35:H35"/>
    <mergeCell ref="I35:J35"/>
    <mergeCell ref="B36:F36"/>
    <mergeCell ref="G36:H36"/>
    <mergeCell ref="I36:J36"/>
    <mergeCell ref="A32:J32"/>
    <mergeCell ref="A33:F33"/>
    <mergeCell ref="G33:H33"/>
    <mergeCell ref="I33:J33"/>
    <mergeCell ref="A34:C34"/>
    <mergeCell ref="D34:F34"/>
    <mergeCell ref="G34:H34"/>
    <mergeCell ref="I34:J34"/>
    <mergeCell ref="A17:C17"/>
    <mergeCell ref="E17:F17"/>
    <mergeCell ref="G17:J17"/>
    <mergeCell ref="A18:A19"/>
    <mergeCell ref="B18:G18"/>
    <mergeCell ref="H18:H19"/>
    <mergeCell ref="I18:I19"/>
    <mergeCell ref="J18:J19"/>
    <mergeCell ref="A15:D16"/>
    <mergeCell ref="E15:F15"/>
    <mergeCell ref="G15:J15"/>
    <mergeCell ref="E16:F16"/>
    <mergeCell ref="G16:J16"/>
    <mergeCell ref="A13:D13"/>
    <mergeCell ref="E13:F13"/>
    <mergeCell ref="G13:J13"/>
    <mergeCell ref="A14:D14"/>
    <mergeCell ref="E14:F14"/>
    <mergeCell ref="G14:J14"/>
    <mergeCell ref="A8:D8"/>
    <mergeCell ref="E8:J10"/>
    <mergeCell ref="A9:D9"/>
    <mergeCell ref="A10:D12"/>
    <mergeCell ref="E11:J11"/>
    <mergeCell ref="E12:F12"/>
    <mergeCell ref="G12:J12"/>
    <mergeCell ref="A4:D7"/>
    <mergeCell ref="E4:J4"/>
    <mergeCell ref="E5:J5"/>
    <mergeCell ref="E6:J6"/>
    <mergeCell ref="E7:J7"/>
    <mergeCell ref="A1:I1"/>
    <mergeCell ref="A2:D2"/>
    <mergeCell ref="E2:F2"/>
    <mergeCell ref="G2:J2"/>
    <mergeCell ref="A3:D3"/>
    <mergeCell ref="E3:F3"/>
    <mergeCell ref="G3:J3"/>
  </mergeCells>
  <pageMargins left="0.70866141732283472" right="0.70866141732283472" top="0.38" bottom="0.4" header="0.31496062992125984" footer="0.31496062992125984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088.xlsm</dc:title>
  <dc:creator>RUSHIKANT</dc:creator>
  <cp:lastModifiedBy>Nabeel</cp:lastModifiedBy>
  <cp:lastPrinted>2025-11-11T11:55:57Z</cp:lastPrinted>
  <dcterms:created xsi:type="dcterms:W3CDTF">2023-10-28T07:33:07Z</dcterms:created>
  <dcterms:modified xsi:type="dcterms:W3CDTF">2025-11-29T11:30:05Z</dcterms:modified>
</cp:coreProperties>
</file>